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dor/R/STV4022/"/>
    </mc:Choice>
  </mc:AlternateContent>
  <xr:revisionPtr revIDLastSave="0" documentId="13_ncr:1_{B30ED5CF-9158-8F4B-B939-CDDB77DE6E95}" xr6:coauthVersionLast="47" xr6:coauthVersionMax="47" xr10:uidLastSave="{00000000-0000-0000-0000-000000000000}"/>
  <bookViews>
    <workbookView xWindow="3180" yWindow="2000" windowWidth="27640" windowHeight="16940" xr2:uid="{D25B5DFF-4232-FA4D-8729-F4619B7D9685}"/>
  </bookViews>
  <sheets>
    <sheet name="t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7" i="1"/>
  <c r="F15" i="1"/>
  <c r="F13" i="1"/>
  <c r="F11" i="1"/>
  <c r="F9" i="1"/>
  <c r="F7" i="1"/>
  <c r="F6" i="1"/>
  <c r="F5" i="1"/>
  <c r="F4" i="1"/>
</calcChain>
</file>

<file path=xl/sharedStrings.xml><?xml version="1.0" encoding="utf-8"?>
<sst xmlns="http://schemas.openxmlformats.org/spreadsheetml/2006/main" count="27" uniqueCount="27">
  <si>
    <t>bladfarge</t>
  </si>
  <si>
    <t>tilvekst</t>
  </si>
  <si>
    <t>bladskader</t>
  </si>
  <si>
    <t>stammeomkrets</t>
  </si>
  <si>
    <t>angrep_skadedyr</t>
  </si>
  <si>
    <t>lav</t>
  </si>
  <si>
    <t>stammeskader</t>
  </si>
  <si>
    <t>helhet</t>
  </si>
  <si>
    <t>tresort</t>
  </si>
  <si>
    <t>alpesal_stor</t>
  </si>
  <si>
    <t>alpesal_liten</t>
  </si>
  <si>
    <t>bergasal_stor</t>
  </si>
  <si>
    <t>bergasal_liten</t>
  </si>
  <si>
    <t>fagerrogn_stor</t>
  </si>
  <si>
    <t>fagerrogn_liten</t>
  </si>
  <si>
    <t>norskasal_stor</t>
  </si>
  <si>
    <t>norskasal_liten</t>
  </si>
  <si>
    <t>rognasal_stor</t>
  </si>
  <si>
    <t>rognasal_liten</t>
  </si>
  <si>
    <t>rognasal_ssp_stor</t>
  </si>
  <si>
    <t>rognasal_ssp_liten</t>
  </si>
  <si>
    <t>smaasal_stor</t>
  </si>
  <si>
    <t>smaasal_liten</t>
  </si>
  <si>
    <t>solvasal_stor</t>
  </si>
  <si>
    <t>solvasal_liten</t>
  </si>
  <si>
    <t>sorlandsasal_stor</t>
  </si>
  <si>
    <t>sorlandsasal_liten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</si>
</sst>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9908-2917-CF46-8091-07503464A76C}">
  <dimension ref="B2:J20"/>
  <sheetViews>
    <sheetView tabSelected="1" workbookViewId="0">
      <selection activeCell="G21" sqref="G21"/>
    </sheetView>
  </sheetViews>
  <sheetFormatPr baseColWidth="10" defaultRowHeight="16" x14ac:dyDescent="0.2"/>
  <cols>
    <col min="2" max="2" width="21.5" customWidth="1"/>
    <col min="3" max="3" width="16.6640625" customWidth="1"/>
    <col min="4" max="4" width="19.6640625" customWidth="1"/>
    <col min="5" max="5" width="14.83203125" customWidth="1"/>
    <col min="6" max="6" width="20.83203125" customWidth="1"/>
    <col min="7" max="7" width="16.83203125" customWidth="1"/>
  </cols>
  <sheetData>
    <row r="2" spans="2:10" x14ac:dyDescent="0.2">
      <c r="B2" s="1" t="s">
        <v>8</v>
      </c>
      <c r="C2" s="1" t="s">
        <v>0</v>
      </c>
      <c r="D2" s="1" t="s">
        <v>1</v>
      </c>
      <c r="E2" s="1" t="s">
        <v>2</v>
      </c>
      <c r="F2" s="2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2:10" x14ac:dyDescent="0.2">
      <c r="B3" s="1" t="s">
        <v>9</v>
      </c>
      <c r="C3" s="1">
        <v>3.5</v>
      </c>
      <c r="D3" s="1">
        <v>15.8</v>
      </c>
      <c r="E3" s="1">
        <v>-2</v>
      </c>
      <c r="F3" s="1">
        <v>19.5</v>
      </c>
      <c r="G3" s="1">
        <v>-2.5</v>
      </c>
      <c r="H3" s="1">
        <v>-3</v>
      </c>
      <c r="I3" s="1">
        <v>-1.5</v>
      </c>
      <c r="J3" s="1">
        <v>3</v>
      </c>
    </row>
    <row r="4" spans="2:10" x14ac:dyDescent="0.2">
      <c r="B4" s="1" t="s">
        <v>10</v>
      </c>
      <c r="C4" s="1">
        <v>3</v>
      </c>
      <c r="D4" s="1">
        <v>18.600000000000001</v>
      </c>
      <c r="E4" s="1">
        <v>-2</v>
      </c>
      <c r="F4" s="1">
        <f>(3+6)/2</f>
        <v>4.5</v>
      </c>
      <c r="G4" s="1">
        <v>-1.5</v>
      </c>
      <c r="H4" s="1">
        <v>0</v>
      </c>
      <c r="I4" s="1">
        <v>0</v>
      </c>
      <c r="J4" s="1">
        <v>7</v>
      </c>
    </row>
    <row r="5" spans="2:10" x14ac:dyDescent="0.2">
      <c r="B5" s="1" t="s">
        <v>11</v>
      </c>
      <c r="C5" s="1">
        <v>3.5</v>
      </c>
      <c r="D5" s="1">
        <v>24</v>
      </c>
      <c r="E5" s="1">
        <v>-1</v>
      </c>
      <c r="F5" s="1">
        <f>(14+19)/2</f>
        <v>16.5</v>
      </c>
      <c r="G5" s="1">
        <v>-2.5</v>
      </c>
      <c r="H5" s="1">
        <v>-3.5</v>
      </c>
      <c r="I5" s="1">
        <v>-1</v>
      </c>
      <c r="J5" s="1">
        <v>2.5</v>
      </c>
    </row>
    <row r="6" spans="2:10" x14ac:dyDescent="0.2">
      <c r="B6" s="1" t="s">
        <v>12</v>
      </c>
      <c r="C6" s="1">
        <v>4</v>
      </c>
      <c r="D6" s="1">
        <v>37.4</v>
      </c>
      <c r="E6" s="1">
        <v>-1</v>
      </c>
      <c r="F6" s="1">
        <f>(3)</f>
        <v>3</v>
      </c>
      <c r="G6" s="1">
        <v>-1</v>
      </c>
      <c r="H6" s="1">
        <v>0</v>
      </c>
      <c r="I6" s="1">
        <v>0</v>
      </c>
      <c r="J6" s="1">
        <v>7</v>
      </c>
    </row>
    <row r="7" spans="2:10" x14ac:dyDescent="0.2">
      <c r="B7" s="1" t="s">
        <v>13</v>
      </c>
      <c r="C7" s="1">
        <v>3</v>
      </c>
      <c r="D7" s="1">
        <v>10.45</v>
      </c>
      <c r="E7" s="1">
        <v>-1</v>
      </c>
      <c r="F7" s="1">
        <f>(16+28)/2</f>
        <v>22</v>
      </c>
      <c r="G7" s="1">
        <v>-1.5</v>
      </c>
      <c r="H7" s="1">
        <v>-3.5</v>
      </c>
      <c r="I7" s="1">
        <v>-2</v>
      </c>
      <c r="J7" s="1">
        <v>4.5</v>
      </c>
    </row>
    <row r="8" spans="2:10" x14ac:dyDescent="0.2">
      <c r="B8" s="1" t="s">
        <v>14</v>
      </c>
      <c r="C8" s="1">
        <v>2.5</v>
      </c>
      <c r="D8" s="1">
        <v>27.8</v>
      </c>
      <c r="E8" s="1">
        <v>-2</v>
      </c>
      <c r="F8" s="1">
        <v>2.5</v>
      </c>
      <c r="G8" s="1">
        <v>-1</v>
      </c>
      <c r="H8" s="1">
        <v>0</v>
      </c>
      <c r="I8" s="1">
        <v>0</v>
      </c>
      <c r="J8" s="1">
        <v>3.5</v>
      </c>
    </row>
    <row r="9" spans="2:10" x14ac:dyDescent="0.2">
      <c r="B9" s="1" t="s">
        <v>15</v>
      </c>
      <c r="C9" s="1">
        <v>4</v>
      </c>
      <c r="D9" s="1">
        <v>36.6</v>
      </c>
      <c r="E9" s="1">
        <v>-0.5</v>
      </c>
      <c r="F9" s="1">
        <f>(24+16)/2</f>
        <v>20</v>
      </c>
      <c r="G9" s="1">
        <v>-1</v>
      </c>
      <c r="H9" s="1">
        <v>-3</v>
      </c>
      <c r="I9" s="1">
        <v>-1.5</v>
      </c>
      <c r="J9" s="1">
        <v>4.5</v>
      </c>
    </row>
    <row r="10" spans="2:10" x14ac:dyDescent="0.2">
      <c r="B10" s="1" t="s">
        <v>16</v>
      </c>
      <c r="C10" s="1">
        <v>4</v>
      </c>
      <c r="D10" s="1">
        <v>33.700000000000003</v>
      </c>
      <c r="E10" s="1">
        <v>-1</v>
      </c>
      <c r="F10" s="1">
        <v>5</v>
      </c>
      <c r="G10" s="1">
        <v>-1</v>
      </c>
      <c r="H10" s="1">
        <v>0</v>
      </c>
      <c r="I10" s="1">
        <v>0</v>
      </c>
      <c r="J10" s="1">
        <v>7.5</v>
      </c>
    </row>
    <row r="11" spans="2:10" x14ac:dyDescent="0.2">
      <c r="B11" s="1" t="s">
        <v>17</v>
      </c>
      <c r="C11" s="1">
        <v>1.5</v>
      </c>
      <c r="D11" s="1">
        <v>16.600000000000001</v>
      </c>
      <c r="E11" s="1">
        <v>-2</v>
      </c>
      <c r="F11" s="1">
        <f>(17+13)/2</f>
        <v>15</v>
      </c>
      <c r="G11" s="1">
        <v>-1.5</v>
      </c>
      <c r="H11" s="1">
        <v>-3</v>
      </c>
      <c r="I11" s="1">
        <v>-1.5</v>
      </c>
      <c r="J11" s="1">
        <v>1.5</v>
      </c>
    </row>
    <row r="12" spans="2:10" x14ac:dyDescent="0.2">
      <c r="B12" s="1" t="s">
        <v>18</v>
      </c>
      <c r="C12" s="1">
        <v>3.5</v>
      </c>
      <c r="D12" s="1">
        <v>31</v>
      </c>
      <c r="E12" s="1">
        <v>-1</v>
      </c>
      <c r="F12" s="1">
        <v>3.5</v>
      </c>
      <c r="G12" s="1">
        <v>-0.1</v>
      </c>
      <c r="H12" s="1">
        <v>0</v>
      </c>
      <c r="I12" s="1">
        <v>0</v>
      </c>
      <c r="J12" s="1">
        <v>6</v>
      </c>
    </row>
    <row r="13" spans="2:10" x14ac:dyDescent="0.2">
      <c r="B13" s="1" t="s">
        <v>19</v>
      </c>
      <c r="C13" s="1">
        <v>2.5</v>
      </c>
      <c r="D13" s="1">
        <v>16.600000000000001</v>
      </c>
      <c r="E13" s="1">
        <v>-1.5</v>
      </c>
      <c r="F13" s="1">
        <f>(31+21)/2</f>
        <v>26</v>
      </c>
      <c r="G13" s="1">
        <v>-1</v>
      </c>
      <c r="H13" s="1">
        <v>-3.5</v>
      </c>
      <c r="I13" s="1">
        <v>-1.5</v>
      </c>
      <c r="J13" s="1">
        <v>4.5</v>
      </c>
    </row>
    <row r="14" spans="2:10" x14ac:dyDescent="0.2">
      <c r="B14" s="1" t="s">
        <v>20</v>
      </c>
      <c r="C14" s="1">
        <v>3.5</v>
      </c>
      <c r="D14" s="1">
        <v>28</v>
      </c>
      <c r="E14" s="1">
        <v>-2</v>
      </c>
      <c r="F14" s="1">
        <v>5</v>
      </c>
      <c r="G14" s="1">
        <v>-1</v>
      </c>
      <c r="H14" s="1">
        <v>0</v>
      </c>
      <c r="I14" s="1">
        <v>0</v>
      </c>
      <c r="J14" s="1">
        <v>8</v>
      </c>
    </row>
    <row r="15" spans="2:10" x14ac:dyDescent="0.2">
      <c r="B15" s="1" t="s">
        <v>21</v>
      </c>
      <c r="C15" s="1">
        <v>4</v>
      </c>
      <c r="D15" s="1">
        <v>31.6</v>
      </c>
      <c r="E15" s="1">
        <v>0.5</v>
      </c>
      <c r="F15" s="1">
        <f>(24+33)/2</f>
        <v>28.5</v>
      </c>
      <c r="G15" s="1">
        <v>-1</v>
      </c>
      <c r="H15" s="1">
        <v>-4</v>
      </c>
      <c r="I15" s="1">
        <v>-0.5</v>
      </c>
      <c r="J15" s="1">
        <v>4</v>
      </c>
    </row>
    <row r="16" spans="2:10" x14ac:dyDescent="0.2">
      <c r="B16" s="1" t="s">
        <v>22</v>
      </c>
      <c r="C16" s="1">
        <v>4</v>
      </c>
      <c r="D16" s="1">
        <v>29.8</v>
      </c>
      <c r="E16" s="1">
        <v>0.5</v>
      </c>
      <c r="F16" s="1">
        <v>4.5</v>
      </c>
      <c r="G16" s="1">
        <v>-0.1</v>
      </c>
      <c r="H16" s="1">
        <v>0</v>
      </c>
      <c r="I16" s="1">
        <v>0</v>
      </c>
      <c r="J16" s="1">
        <v>8</v>
      </c>
    </row>
    <row r="17" spans="2:10" x14ac:dyDescent="0.2">
      <c r="B17" s="1" t="s">
        <v>23</v>
      </c>
      <c r="C17" s="1">
        <v>4</v>
      </c>
      <c r="D17" s="1">
        <v>14.3</v>
      </c>
      <c r="E17" s="1">
        <v>0</v>
      </c>
      <c r="F17" s="1">
        <f>12</f>
        <v>12</v>
      </c>
      <c r="G17" s="1">
        <v>0</v>
      </c>
      <c r="H17" s="1">
        <v>-3</v>
      </c>
      <c r="I17" s="1">
        <v>-1</v>
      </c>
      <c r="J17" s="1">
        <v>2</v>
      </c>
    </row>
    <row r="18" spans="2:10" x14ac:dyDescent="0.2">
      <c r="B18" s="1" t="s">
        <v>24</v>
      </c>
      <c r="C18" s="1">
        <v>4</v>
      </c>
      <c r="D18" s="1">
        <v>20</v>
      </c>
      <c r="E18" s="1">
        <v>0</v>
      </c>
      <c r="F18" s="1">
        <v>5</v>
      </c>
      <c r="G18" s="1">
        <v>-1</v>
      </c>
      <c r="H18" s="1">
        <v>0</v>
      </c>
      <c r="I18" s="1">
        <v>0</v>
      </c>
      <c r="J18" s="1">
        <v>8</v>
      </c>
    </row>
    <row r="19" spans="2:10" x14ac:dyDescent="0.2">
      <c r="B19" s="1" t="s">
        <v>25</v>
      </c>
      <c r="C19" s="1">
        <v>3</v>
      </c>
      <c r="D19" s="1">
        <v>16.8</v>
      </c>
      <c r="E19" s="1">
        <v>1.5</v>
      </c>
      <c r="F19" s="1">
        <f>(20+24)/2</f>
        <v>22</v>
      </c>
      <c r="G19" s="1">
        <v>-2</v>
      </c>
      <c r="H19" s="1">
        <v>-3.5</v>
      </c>
      <c r="I19" s="1">
        <v>-1.5</v>
      </c>
      <c r="J19" s="1">
        <v>2</v>
      </c>
    </row>
    <row r="20" spans="2:10" x14ac:dyDescent="0.2">
      <c r="B20" s="1" t="s">
        <v>26</v>
      </c>
      <c r="C20" s="1">
        <v>3.5</v>
      </c>
      <c r="D20" s="1">
        <v>27.1</v>
      </c>
      <c r="E20" s="1">
        <v>1.5</v>
      </c>
      <c r="F20" s="1">
        <v>7.5</v>
      </c>
      <c r="G20" s="1">
        <v>-1.5</v>
      </c>
      <c r="H20" s="1">
        <v>0</v>
      </c>
      <c r="I20" s="1">
        <v>0</v>
      </c>
      <c r="J20" s="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Gösta Arne Fröslin Bredal-Thorsen</dc:creator>
  <cp:lastModifiedBy>Theodor Gösta Arne Fröslin Bredal-Thorsen</cp:lastModifiedBy>
  <dcterms:created xsi:type="dcterms:W3CDTF">2025-10-05T10:58:40Z</dcterms:created>
  <dcterms:modified xsi:type="dcterms:W3CDTF">2025-10-06T22:03:02Z</dcterms:modified>
</cp:coreProperties>
</file>